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3a7ac9aba4eb95/Documentos/TOÑO REMES JR- EMERGENCIA 8 FEBRERO 2024/JURISPRUDENCIA Y DESARROLLO TECNOLOGICO EN EL SJF-TESIS DOCTORADO/CUADRO ESTRATEGICO INSTITUCIONES ENSEÑANZA SUPERIOR/"/>
    </mc:Choice>
  </mc:AlternateContent>
  <xr:revisionPtr revIDLastSave="45" documentId="13_ncr:1_{5323C030-061A-463A-8458-F84C56190699}" xr6:coauthVersionLast="47" xr6:coauthVersionMax="47" xr10:uidLastSave="{66C5D06D-2E14-44A0-B088-C1366FFA238A}"/>
  <bookViews>
    <workbookView xWindow="-120" yWindow="-120" windowWidth="20730" windowHeight="11760" xr2:uid="{4CBFA48C-A5DB-48CD-8909-F352CFA128D0}"/>
  </bookViews>
  <sheets>
    <sheet name="CEIES" sheetId="1" r:id="rId1"/>
    <sheet name="UNIVERSIDADES" sheetId="3" r:id="rId2"/>
    <sheet name="UNIVERSIDADES- INVENCIONES" sheetId="2" r:id="rId3"/>
  </sheets>
  <definedNames>
    <definedName name="_xlnm._FilterDatabase" localSheetId="2" hidden="1">'UNIVERSIDADES- INVENCIONES'!$B$2:$C$2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D37" i="3"/>
  <c r="H38" i="1"/>
  <c r="D38" i="1"/>
  <c r="B38" i="1"/>
  <c r="J38" i="1"/>
  <c r="G38" i="1"/>
  <c r="E38" i="1"/>
  <c r="F38" i="1"/>
  <c r="G37" i="1"/>
  <c r="D37" i="1"/>
  <c r="K37" i="1"/>
  <c r="L37" i="1"/>
  <c r="D36" i="1"/>
  <c r="K36" i="1"/>
  <c r="L36" i="1"/>
  <c r="G36" i="1"/>
  <c r="G35" i="1"/>
  <c r="D35" i="1"/>
  <c r="K35" i="1"/>
  <c r="L35" i="1"/>
  <c r="G34" i="1"/>
  <c r="G33" i="1"/>
  <c r="D34" i="1"/>
  <c r="K34" i="1"/>
  <c r="L34" i="1"/>
  <c r="D33" i="1"/>
  <c r="K33" i="1"/>
  <c r="L33" i="1"/>
  <c r="D32" i="1"/>
  <c r="D31" i="1"/>
  <c r="K32" i="1"/>
  <c r="L32" i="1"/>
  <c r="G32" i="1"/>
  <c r="L31" i="1"/>
  <c r="K31" i="1"/>
  <c r="G31" i="1"/>
  <c r="D30" i="1"/>
  <c r="K30" i="1"/>
  <c r="L30" i="1"/>
  <c r="G30" i="1"/>
  <c r="D29" i="1"/>
  <c r="K29" i="1"/>
  <c r="L29" i="1"/>
  <c r="G29" i="1"/>
  <c r="G28" i="1"/>
  <c r="D28" i="1"/>
  <c r="K28" i="1"/>
  <c r="L28" i="1"/>
  <c r="G27" i="1"/>
  <c r="D27" i="1"/>
  <c r="K27" i="1"/>
  <c r="L27" i="1"/>
  <c r="D26" i="1"/>
  <c r="K26" i="1"/>
  <c r="L26" i="1"/>
  <c r="G26" i="1"/>
  <c r="D25" i="1"/>
  <c r="K25" i="1"/>
  <c r="L25" i="1"/>
  <c r="G25" i="1"/>
  <c r="D24" i="1"/>
  <c r="K24" i="1"/>
  <c r="L24" i="1"/>
  <c r="G24" i="1"/>
  <c r="D23" i="1"/>
  <c r="K23" i="1"/>
  <c r="L23" i="1"/>
  <c r="G23" i="1"/>
  <c r="D22" i="1"/>
  <c r="K22" i="1"/>
  <c r="L22" i="1"/>
  <c r="G22" i="1"/>
  <c r="D21" i="1"/>
  <c r="K21" i="1"/>
  <c r="L21" i="1"/>
  <c r="G21" i="1"/>
  <c r="D20" i="1"/>
  <c r="K20" i="1"/>
  <c r="L20" i="1"/>
  <c r="G20" i="1"/>
  <c r="D19" i="1"/>
  <c r="K19" i="1"/>
  <c r="L19" i="1"/>
  <c r="G19" i="1"/>
  <c r="G18" i="1"/>
  <c r="D18" i="1"/>
  <c r="K18" i="1"/>
  <c r="L18" i="1"/>
  <c r="D17" i="1"/>
  <c r="K17" i="1"/>
  <c r="L17" i="1"/>
  <c r="G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D16" i="1"/>
  <c r="G16" i="1"/>
  <c r="D15" i="1"/>
  <c r="G15" i="1"/>
  <c r="D14" i="1"/>
  <c r="G14" i="1"/>
  <c r="D13" i="1"/>
  <c r="G13" i="1"/>
  <c r="G12" i="1"/>
  <c r="D12" i="1"/>
  <c r="D11" i="1"/>
  <c r="G11" i="1"/>
  <c r="G10" i="1"/>
  <c r="D10" i="1"/>
  <c r="G9" i="1"/>
  <c r="D9" i="1"/>
  <c r="D8" i="1"/>
  <c r="G8" i="1"/>
  <c r="D7" i="1"/>
  <c r="G7" i="1"/>
  <c r="G6" i="1"/>
  <c r="D5" i="1"/>
  <c r="G5" i="1"/>
  <c r="D4" i="1"/>
  <c r="G4" i="1"/>
</calcChain>
</file>

<file path=xl/sharedStrings.xml><?xml version="1.0" encoding="utf-8"?>
<sst xmlns="http://schemas.openxmlformats.org/spreadsheetml/2006/main" count="132" uniqueCount="58">
  <si>
    <t>Institución</t>
  </si>
  <si>
    <t>Presupuesto</t>
  </si>
  <si>
    <t>Presupuesto a remuneraciones</t>
  </si>
  <si>
    <t>Cuadro estratégico de Instituciones de Enseñanza Superior</t>
  </si>
  <si>
    <t>Invenciones (2014-act.).</t>
  </si>
  <si>
    <t>Ingresos por TT (2014-act.).</t>
  </si>
  <si>
    <t>Universidad Autónoma de Aguascalientes</t>
  </si>
  <si>
    <t>INFORMACIÓN INAI-PNT.</t>
  </si>
  <si>
    <t>Universidad Autónoma de Baja California Sur</t>
  </si>
  <si>
    <t>Universidad Autónoma de Campeche</t>
  </si>
  <si>
    <t>Universidad Autónoma de Coahuila</t>
  </si>
  <si>
    <t>Universidad de Colima</t>
  </si>
  <si>
    <t>Universidad Autónoma de Chiapas</t>
  </si>
  <si>
    <t>Universidad Autónoma de Ciudad Juárez</t>
  </si>
  <si>
    <t>Universidad Autónoma de Chihuahua</t>
  </si>
  <si>
    <t>Universidad Autónoma de la Ciudad de México</t>
  </si>
  <si>
    <t>Universidad Juárez del Estado de Durango</t>
  </si>
  <si>
    <t>Universidad de Guanajuato</t>
  </si>
  <si>
    <t>Universidad Autónoma de Guerrero</t>
  </si>
  <si>
    <t>Universidad Autónoma del Estado de Hidalgo</t>
  </si>
  <si>
    <t>Universidad de Guadalajara</t>
  </si>
  <si>
    <t>Universidad Michoacana de San Nicolás de Hidalgo</t>
  </si>
  <si>
    <t>Universidad Autónoma del Estado de Morelos</t>
  </si>
  <si>
    <t>Universidad Autónoma de Nayarit</t>
  </si>
  <si>
    <t>Universidad Autónoma de Nuevo León</t>
  </si>
  <si>
    <t>Universidad Autónoma Benito Juárez de Oaxaca</t>
  </si>
  <si>
    <t>Benemérita Universidad Autónoma del Estado de Puebla</t>
  </si>
  <si>
    <t>Universidad Autónoma de Querétaro</t>
  </si>
  <si>
    <t>Universidad Autónoma del Estado de Quintana Roo</t>
  </si>
  <si>
    <t>Universidad Autónoma de San Luís Potosí</t>
  </si>
  <si>
    <t>Universidad Autónoma de Sinaloa</t>
  </si>
  <si>
    <t>Universidad de Sonora</t>
  </si>
  <si>
    <t>Instituto Tecnológico de Sonora</t>
  </si>
  <si>
    <t>Universidad Juárez Autónoma de Tabasco</t>
  </si>
  <si>
    <t>Universidad Autónoma de Tamaulipas</t>
  </si>
  <si>
    <t>Universidad Autónoma de Tlaxcala</t>
  </si>
  <si>
    <t>Universidad Veracruzana</t>
  </si>
  <si>
    <t>Universidad Autónoma de Yucatán</t>
  </si>
  <si>
    <t>Universidad Autónoma de Zacatecas</t>
  </si>
  <si>
    <t>Universidad Autónoma del Estado de México</t>
  </si>
  <si>
    <t>Plazas cubiertas (incluye confianza y base)</t>
  </si>
  <si>
    <t>Plazas disponibles (incluye confianza y base)</t>
  </si>
  <si>
    <t>% destinado a remuneraciones</t>
  </si>
  <si>
    <t>% Plazas vacantes</t>
  </si>
  <si>
    <t>Alumnos (incluye todo el universo)</t>
  </si>
  <si>
    <t>Universidad Autónoma del Estado de Baja California (1)</t>
  </si>
  <si>
    <t>Número real de empleados (NRE), revelado por Universidad</t>
  </si>
  <si>
    <t>-</t>
  </si>
  <si>
    <t>EEDPII- R 70%</t>
  </si>
  <si>
    <t>EEDPII- R 85%</t>
  </si>
  <si>
    <t>NEPR 70%</t>
  </si>
  <si>
    <t>NEPR 85%</t>
  </si>
  <si>
    <t>Datos de investigación: Los TC´S son un auténtico lujo, casi no hay a nivel nacional, cada Universidad maneja sus propias condiciones de contratación, discrecionales y manejadas por su relación con el Sindicato, o bien, mediante esquema de "Honorarios", o bien, mediante "Interinatos" por obra determinada "de facto, procrastinando la basificación y la estabilidad del derecho laboral. Sin condiciones óptimas en materia de trabajo (Entorno Organizacional Favorable) , las Universidades deben permitir que los trabajadores transfieran, comercialicen y o provean herramientas para que se empoderen en otros ámbitos laborales, garantizando un nuevo nicho de incorporación de nuevos proyectos que doten remuneraciones más dignas.</t>
  </si>
  <si>
    <t>TOTAL</t>
  </si>
  <si>
    <t>DATOS COMPLEMENTARIOS: Desde la SES de la SEP se ministra subsidio federalizado que guarda registros nominales de bases muy distintas a las manejadas por las Universidades Estatales, la razón, posiblemente por la disponibilidad presupuestaria de los propios convenios</t>
  </si>
  <si>
    <t>FUENTE: Consulta INAI/ PNT, ANUIES 2021-2022, DATAMEXICO, ANUARIOS ESTADÍSTICOS, INFORMES RECTORÍA, ENTRE OTROS.</t>
  </si>
  <si>
    <t>FUENTE DE BÚSQUEDA DE PATENTES: SIGA.IMPI.GOB.MX (GACETA PROPIEDAD INDUSTRIAL) (PERIOD- ENERO 2014-ACT, 24 FEB 2023)</t>
  </si>
  <si>
    <t>instituciones más inventoras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</si>
</sst>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Open Sans"/>
      <family val="2"/>
    </font>
    <font>
      <sz val="10"/>
      <color rgb="FF333333"/>
      <name val="Open Sans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44" fontId="4" fillId="0" borderId="0" xfId="1" applyFont="1"/>
    <xf numFmtId="44" fontId="5" fillId="0" borderId="0" xfId="1" applyFont="1"/>
    <xf numFmtId="44" fontId="2" fillId="0" borderId="0" xfId="1" applyFont="1" applyAlignment="1">
      <alignment horizontal="center" vertical="center" wrapText="1"/>
    </xf>
    <xf numFmtId="44" fontId="1" fillId="0" borderId="0" xfId="1" applyFont="1"/>
    <xf numFmtId="44" fontId="0" fillId="0" borderId="0" xfId="1" applyFont="1"/>
    <xf numFmtId="4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 vertical="center" wrapText="1"/>
    </xf>
    <xf numFmtId="9" fontId="1" fillId="0" borderId="0" xfId="2" applyFont="1"/>
    <xf numFmtId="9" fontId="0" fillId="0" borderId="0" xfId="2" applyFont="1"/>
    <xf numFmtId="0" fontId="6" fillId="0" borderId="0" xfId="0" applyFont="1"/>
    <xf numFmtId="9" fontId="1" fillId="0" borderId="0" xfId="2" applyFont="1" applyAlignment="1">
      <alignment horizontal="center"/>
    </xf>
    <xf numFmtId="0" fontId="2" fillId="0" borderId="0" xfId="0" applyFont="1" applyAlignment="1">
      <alignment horizontal="center" wrapText="1"/>
    </xf>
    <xf numFmtId="44" fontId="1" fillId="0" borderId="0" xfId="1" applyFont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 wrapText="1"/>
    </xf>
    <xf numFmtId="0" fontId="0" fillId="0" borderId="0" xfId="0" applyAlignment="1">
      <alignment horizontal="center"/>
    </xf>
    <xf numFmtId="8" fontId="1" fillId="0" borderId="0" xfId="0" applyNumberFormat="1" applyFont="1"/>
    <xf numFmtId="0" fontId="1" fillId="0" borderId="0" xfId="0" quotePrefix="1" applyFont="1"/>
    <xf numFmtId="44" fontId="7" fillId="0" borderId="0" xfId="1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'UNIVERSIDADES- INVENCIONES'!$C$2</c:f>
              <c:strCache>
                <c:ptCount val="1"/>
                <c:pt idx="0">
                  <c:v>Invenciones (2014-act.).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'UNIVERSIDADES- INVENCIONES'!$B$4:$B$37</c:f>
              <c:strCache>
                <c:ptCount val="34"/>
                <c:pt idx="0">
                  <c:v>Universidad Autónoma de Nuevo León</c:v>
                </c:pt>
                <c:pt idx="1">
                  <c:v>Universidad de Guanajuato</c:v>
                </c:pt>
                <c:pt idx="2">
                  <c:v>Universidad Autónoma de Querétaro</c:v>
                </c:pt>
                <c:pt idx="3">
                  <c:v>Universidad de Guadalajara</c:v>
                </c:pt>
                <c:pt idx="4">
                  <c:v>Universidad Autónoma del Estado de México</c:v>
                </c:pt>
                <c:pt idx="5">
                  <c:v>Universidad de Sonora</c:v>
                </c:pt>
                <c:pt idx="6">
                  <c:v>Universidad Autónoma de Coahuila</c:v>
                </c:pt>
                <c:pt idx="7">
                  <c:v>Universidad Autónoma del Estado de Hidalgo</c:v>
                </c:pt>
                <c:pt idx="8">
                  <c:v>Universidad Autónoma del Estado de Morelos</c:v>
                </c:pt>
                <c:pt idx="9">
                  <c:v>Universidad Autónoma de Sinaloa</c:v>
                </c:pt>
                <c:pt idx="10">
                  <c:v>Universidad Autónoma de Ciudad Juárez</c:v>
                </c:pt>
                <c:pt idx="11">
                  <c:v>Universidad Veracruzana</c:v>
                </c:pt>
                <c:pt idx="12">
                  <c:v>Universidad Autónoma de Tamaulipas</c:v>
                </c:pt>
                <c:pt idx="13">
                  <c:v>Universidad Autónoma de San Luís Potosí</c:v>
                </c:pt>
                <c:pt idx="14">
                  <c:v>Universidad Autónoma de Yucatán</c:v>
                </c:pt>
                <c:pt idx="15">
                  <c:v>Universidad Autónoma del Estado de Baja California (1)</c:v>
                </c:pt>
                <c:pt idx="16">
                  <c:v>Universidad Juárez Autónoma de Tabasco</c:v>
                </c:pt>
                <c:pt idx="17">
                  <c:v>Universidad Autónoma de Chiapas</c:v>
                </c:pt>
                <c:pt idx="18">
                  <c:v>Universidad Autónoma de Aguascalientes</c:v>
                </c:pt>
                <c:pt idx="19">
                  <c:v>Universidad de Colima</c:v>
                </c:pt>
                <c:pt idx="20">
                  <c:v>Universidad Michoacana de San Nicolás de Hidalgo</c:v>
                </c:pt>
                <c:pt idx="21">
                  <c:v>Universidad Autónoma de la Ciudad de México</c:v>
                </c:pt>
                <c:pt idx="22">
                  <c:v>Universidad Autónoma de Guerrero</c:v>
                </c:pt>
                <c:pt idx="23">
                  <c:v>Universidad Autónoma de Nayarit</c:v>
                </c:pt>
                <c:pt idx="24">
                  <c:v>Universidad Autónoma de Chihuahua</c:v>
                </c:pt>
                <c:pt idx="25">
                  <c:v>Universidad Autónoma de Baja California Sur</c:v>
                </c:pt>
                <c:pt idx="26">
                  <c:v>Universidad Juárez del Estado de Durango</c:v>
                </c:pt>
                <c:pt idx="27">
                  <c:v>Universidad Autónoma de Campeche</c:v>
                </c:pt>
                <c:pt idx="28">
                  <c:v>Universidad Autónoma Benito Juárez de Oaxaca</c:v>
                </c:pt>
                <c:pt idx="29">
                  <c:v>Benemérita Universidad Autónoma del Estado de Puebla</c:v>
                </c:pt>
                <c:pt idx="30">
                  <c:v>Universidad Autónoma del Estado de Quintana Roo</c:v>
                </c:pt>
                <c:pt idx="31">
                  <c:v>Instituto Tecnológico de Sonora</c:v>
                </c:pt>
                <c:pt idx="32">
                  <c:v>Universidad Autónoma de Tlaxcala</c:v>
                </c:pt>
                <c:pt idx="33">
                  <c:v>Universidad Autónoma de Zacatecas</c:v>
                </c:pt>
              </c:strCache>
            </c:strRef>
          </c:cat>
          <c:val>
            <c:numRef>
              <c:f>'UNIVERSIDADES- INVENCIONES'!$C$4:$C$37</c:f>
              <c:numCache>
                <c:formatCode>General</c:formatCode>
                <c:ptCount val="34"/>
                <c:pt idx="0">
                  <c:v>494</c:v>
                </c:pt>
                <c:pt idx="1">
                  <c:v>185</c:v>
                </c:pt>
                <c:pt idx="2">
                  <c:v>182</c:v>
                </c:pt>
                <c:pt idx="3">
                  <c:v>176</c:v>
                </c:pt>
                <c:pt idx="4">
                  <c:v>133</c:v>
                </c:pt>
                <c:pt idx="5">
                  <c:v>129</c:v>
                </c:pt>
                <c:pt idx="6">
                  <c:v>90</c:v>
                </c:pt>
                <c:pt idx="7">
                  <c:v>86</c:v>
                </c:pt>
                <c:pt idx="8">
                  <c:v>82</c:v>
                </c:pt>
                <c:pt idx="9">
                  <c:v>77</c:v>
                </c:pt>
                <c:pt idx="10">
                  <c:v>70</c:v>
                </c:pt>
                <c:pt idx="11">
                  <c:v>55</c:v>
                </c:pt>
                <c:pt idx="12">
                  <c:v>49</c:v>
                </c:pt>
                <c:pt idx="13">
                  <c:v>38</c:v>
                </c:pt>
                <c:pt idx="14">
                  <c:v>31</c:v>
                </c:pt>
                <c:pt idx="15">
                  <c:v>30</c:v>
                </c:pt>
                <c:pt idx="16">
                  <c:v>28</c:v>
                </c:pt>
                <c:pt idx="17">
                  <c:v>22</c:v>
                </c:pt>
                <c:pt idx="18">
                  <c:v>19</c:v>
                </c:pt>
                <c:pt idx="19">
                  <c:v>19</c:v>
                </c:pt>
                <c:pt idx="20">
                  <c:v>17</c:v>
                </c:pt>
                <c:pt idx="21">
                  <c:v>12</c:v>
                </c:pt>
                <c:pt idx="22">
                  <c:v>9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9-489A-AAB3-679CABE49A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7752304"/>
        <c:axId val="767739824"/>
      </c:barChart>
      <c:catAx>
        <c:axId val="76775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7739824"/>
        <c:crosses val="autoZero"/>
        <c:auto val="1"/>
        <c:lblAlgn val="ctr"/>
        <c:lblOffset val="100"/>
        <c:noMultiLvlLbl val="0"/>
      </c:catAx>
      <c:valAx>
        <c:axId val="7677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775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36</xdr:row>
      <xdr:rowOff>95250</xdr:rowOff>
    </xdr:from>
    <xdr:to>
      <xdr:col>12</xdr:col>
      <xdr:colOff>409575</xdr:colOff>
      <xdr:row>62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333967-AF3C-F141-BA6B-F26750298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1C75-FFC4-43E6-B0DF-C2D366F10434}">
  <dimension ref="A1:Q44"/>
  <sheetViews>
    <sheetView tabSelected="1" topLeftCell="A36" zoomScale="90" zoomScaleNormal="90" workbookViewId="0">
      <selection activeCell="A43" sqref="A43:F43"/>
    </sheetView>
  </sheetViews>
  <sheetFormatPr baseColWidth="10" defaultRowHeight="15" x14ac:dyDescent="0.25"/>
  <cols>
    <col min="1" max="1" width="41.85546875" style="2" customWidth="1"/>
    <col min="2" max="2" width="12.42578125" customWidth="1"/>
    <col min="3" max="3" width="12.7109375" customWidth="1"/>
    <col min="4" max="4" width="12" style="15" customWidth="1"/>
    <col min="5" max="5" width="23" style="9" customWidth="1"/>
    <col min="6" max="6" width="21.28515625" style="9" customWidth="1"/>
    <col min="7" max="7" width="14.5703125" style="15" customWidth="1"/>
    <col min="8" max="8" width="12" customWidth="1"/>
    <col min="9" max="9" width="25.7109375" customWidth="1"/>
    <col min="10" max="10" width="10.5703125" customWidth="1"/>
    <col min="11" max="11" width="8.140625" customWidth="1"/>
    <col min="12" max="12" width="9.5703125" customWidth="1"/>
    <col min="13" max="13" width="22.7109375" customWidth="1"/>
    <col min="14" max="14" width="25.7109375" customWidth="1"/>
  </cols>
  <sheetData>
    <row r="1" spans="1:15" x14ac:dyDescent="0.25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</row>
    <row r="2" spans="1:15" x14ac:dyDescent="0.25">
      <c r="A2" s="24" t="s">
        <v>7</v>
      </c>
      <c r="B2" s="24"/>
      <c r="C2" s="24"/>
      <c r="D2" s="24"/>
      <c r="E2" s="24"/>
      <c r="F2" s="24"/>
      <c r="G2" s="24"/>
      <c r="H2" s="24"/>
      <c r="I2" s="24"/>
      <c r="J2" s="24"/>
    </row>
    <row r="3" spans="1:15" ht="120" x14ac:dyDescent="0.25">
      <c r="A3" s="3" t="s">
        <v>0</v>
      </c>
      <c r="B3" s="3" t="s">
        <v>40</v>
      </c>
      <c r="C3" s="3" t="s">
        <v>41</v>
      </c>
      <c r="D3" s="13" t="s">
        <v>43</v>
      </c>
      <c r="E3" s="7" t="s">
        <v>1</v>
      </c>
      <c r="F3" s="7" t="s">
        <v>2</v>
      </c>
      <c r="G3" s="13" t="s">
        <v>42</v>
      </c>
      <c r="H3" s="3" t="s">
        <v>4</v>
      </c>
      <c r="I3" s="3" t="s">
        <v>5</v>
      </c>
      <c r="J3" s="3" t="s">
        <v>44</v>
      </c>
      <c r="K3" s="3" t="s">
        <v>50</v>
      </c>
      <c r="L3" s="3" t="s">
        <v>51</v>
      </c>
      <c r="M3" s="3" t="s">
        <v>48</v>
      </c>
      <c r="N3" s="3" t="s">
        <v>49</v>
      </c>
      <c r="O3" s="3" t="s">
        <v>46</v>
      </c>
    </row>
    <row r="4" spans="1:15" ht="16.5" x14ac:dyDescent="0.3">
      <c r="A4" s="4" t="s">
        <v>6</v>
      </c>
      <c r="B4" s="1">
        <v>2013</v>
      </c>
      <c r="C4" s="1">
        <v>522</v>
      </c>
      <c r="D4" s="15">
        <f>C4/B4</f>
        <v>0.25931445603576753</v>
      </c>
      <c r="E4" s="5">
        <v>2306268475.9200001</v>
      </c>
      <c r="F4" s="6">
        <v>1623452670</v>
      </c>
      <c r="G4" s="14">
        <f t="shared" ref="G4:G30" si="0">F4/E4</f>
        <v>0.70393047771785711</v>
      </c>
      <c r="H4" s="1">
        <v>19</v>
      </c>
      <c r="I4" s="1">
        <v>0</v>
      </c>
      <c r="J4" s="1">
        <v>20194</v>
      </c>
      <c r="K4" s="1">
        <f>B4*0.7</f>
        <v>1409.1</v>
      </c>
      <c r="L4" s="1">
        <f>B4*0.85</f>
        <v>1711.05</v>
      </c>
      <c r="M4" s="10"/>
      <c r="N4" s="10"/>
      <c r="O4" s="1"/>
    </row>
    <row r="5" spans="1:15" ht="30" x14ac:dyDescent="0.3">
      <c r="A5" s="4" t="s">
        <v>45</v>
      </c>
      <c r="B5" s="1">
        <v>1748</v>
      </c>
      <c r="C5" s="1">
        <v>102</v>
      </c>
      <c r="D5" s="15">
        <f>C5/B5</f>
        <v>5.8352402745995423E-2</v>
      </c>
      <c r="E5" s="5">
        <v>5544690664.4499998</v>
      </c>
      <c r="F5" s="6">
        <v>3852866695</v>
      </c>
      <c r="G5" s="14">
        <f t="shared" si="0"/>
        <v>0.69487495843596914</v>
      </c>
      <c r="H5" s="1">
        <v>30</v>
      </c>
      <c r="I5" s="1">
        <v>0</v>
      </c>
      <c r="J5" s="1">
        <v>68621</v>
      </c>
      <c r="K5" s="1">
        <f t="shared" ref="K5:K30" si="1">B5*0.7</f>
        <v>1223.5999999999999</v>
      </c>
      <c r="L5" s="1">
        <f t="shared" ref="L5:L30" si="2">B5*0.85</f>
        <v>1485.8</v>
      </c>
      <c r="M5" s="10"/>
      <c r="N5" s="10"/>
      <c r="O5" s="1">
        <v>7995</v>
      </c>
    </row>
    <row r="6" spans="1:15" ht="30" x14ac:dyDescent="0.3">
      <c r="A6" s="4" t="s">
        <v>8</v>
      </c>
      <c r="B6" s="1"/>
      <c r="C6" s="1"/>
      <c r="D6" s="14"/>
      <c r="E6" s="5">
        <v>659632110</v>
      </c>
      <c r="F6" s="6">
        <v>553147575</v>
      </c>
      <c r="G6" s="14">
        <f t="shared" si="0"/>
        <v>0.83856981280065335</v>
      </c>
      <c r="H6" s="1">
        <v>3</v>
      </c>
      <c r="I6" s="1">
        <v>0</v>
      </c>
      <c r="J6" s="1">
        <v>7916</v>
      </c>
      <c r="K6" s="1">
        <f t="shared" si="1"/>
        <v>0</v>
      </c>
      <c r="L6" s="1">
        <f t="shared" si="2"/>
        <v>0</v>
      </c>
      <c r="M6" s="10"/>
      <c r="N6" s="10"/>
      <c r="O6" s="1" t="s">
        <v>47</v>
      </c>
    </row>
    <row r="7" spans="1:15" ht="16.5" x14ac:dyDescent="0.3">
      <c r="A7" s="4" t="s">
        <v>9</v>
      </c>
      <c r="B7" s="1">
        <v>1895</v>
      </c>
      <c r="C7" s="1">
        <v>0</v>
      </c>
      <c r="D7" s="15">
        <f t="shared" ref="D7:D30" si="3">C7/B7</f>
        <v>0</v>
      </c>
      <c r="E7" s="5">
        <v>958173335</v>
      </c>
      <c r="F7" s="6">
        <v>721919087</v>
      </c>
      <c r="G7" s="14">
        <f t="shared" si="0"/>
        <v>0.75343266257769526</v>
      </c>
      <c r="H7" s="1">
        <v>1</v>
      </c>
      <c r="I7" s="1">
        <v>0</v>
      </c>
      <c r="J7" s="1">
        <v>7346</v>
      </c>
      <c r="K7" s="1">
        <f t="shared" si="1"/>
        <v>1326.5</v>
      </c>
      <c r="L7" s="1">
        <f t="shared" si="2"/>
        <v>1610.75</v>
      </c>
      <c r="M7" s="10"/>
      <c r="N7" s="10"/>
      <c r="O7" s="1"/>
    </row>
    <row r="8" spans="1:15" ht="16.5" x14ac:dyDescent="0.3">
      <c r="A8" s="4" t="s">
        <v>10</v>
      </c>
      <c r="B8" s="1">
        <v>2150</v>
      </c>
      <c r="C8" s="1">
        <v>56</v>
      </c>
      <c r="D8" s="15">
        <f t="shared" si="3"/>
        <v>2.6046511627906978E-2</v>
      </c>
      <c r="E8" s="5">
        <v>3409115778.3600001</v>
      </c>
      <c r="F8" s="6">
        <v>3088178333.71</v>
      </c>
      <c r="G8" s="14">
        <f t="shared" si="0"/>
        <v>0.90585903632630771</v>
      </c>
      <c r="H8" s="1">
        <v>90</v>
      </c>
      <c r="I8" s="1">
        <v>0</v>
      </c>
      <c r="J8" s="1">
        <v>38598</v>
      </c>
      <c r="K8" s="1">
        <f t="shared" si="1"/>
        <v>1505</v>
      </c>
      <c r="L8" s="1">
        <f t="shared" si="2"/>
        <v>1827.5</v>
      </c>
      <c r="M8" s="10"/>
      <c r="N8" s="10"/>
      <c r="O8" s="1">
        <v>3228</v>
      </c>
    </row>
    <row r="9" spans="1:15" ht="16.5" x14ac:dyDescent="0.3">
      <c r="A9" s="4" t="s">
        <v>11</v>
      </c>
      <c r="B9" s="1">
        <v>4738</v>
      </c>
      <c r="C9" s="1">
        <v>0</v>
      </c>
      <c r="D9" s="14">
        <f t="shared" si="3"/>
        <v>0</v>
      </c>
      <c r="E9" s="5">
        <v>2227395460.1999998</v>
      </c>
      <c r="F9" s="6">
        <v>1841672601.5899999</v>
      </c>
      <c r="G9" s="14">
        <f t="shared" si="0"/>
        <v>0.82682785095765365</v>
      </c>
      <c r="H9" s="1">
        <v>19</v>
      </c>
      <c r="I9" s="29">
        <v>13974936.34</v>
      </c>
      <c r="J9" s="1">
        <v>28317</v>
      </c>
      <c r="K9" s="1">
        <f t="shared" si="1"/>
        <v>3316.6</v>
      </c>
      <c r="L9" s="1">
        <f t="shared" si="2"/>
        <v>4027.2999999999997</v>
      </c>
      <c r="M9" s="10"/>
      <c r="N9" s="10"/>
      <c r="O9" s="1"/>
    </row>
    <row r="10" spans="1:15" ht="16.5" x14ac:dyDescent="0.3">
      <c r="A10" s="4" t="s">
        <v>12</v>
      </c>
      <c r="B10" s="1">
        <v>3572</v>
      </c>
      <c r="C10" s="1">
        <v>0</v>
      </c>
      <c r="D10" s="14">
        <f t="shared" si="3"/>
        <v>0</v>
      </c>
      <c r="E10" s="5">
        <v>1692409625.1199999</v>
      </c>
      <c r="F10" s="6">
        <v>1316126970.1199999</v>
      </c>
      <c r="G10" s="14">
        <f t="shared" si="0"/>
        <v>0.77766455034588933</v>
      </c>
      <c r="H10" s="1">
        <v>22</v>
      </c>
      <c r="I10" s="1">
        <v>0</v>
      </c>
      <c r="J10" s="1">
        <v>25113</v>
      </c>
      <c r="K10" s="1">
        <f t="shared" si="1"/>
        <v>2500.3999999999996</v>
      </c>
      <c r="L10" s="1">
        <f t="shared" si="2"/>
        <v>3036.2</v>
      </c>
      <c r="M10" s="10"/>
      <c r="N10" s="10"/>
      <c r="O10" s="1"/>
    </row>
    <row r="11" spans="1:15" ht="16.5" x14ac:dyDescent="0.3">
      <c r="A11" s="4" t="s">
        <v>13</v>
      </c>
      <c r="B11" s="1">
        <v>2635</v>
      </c>
      <c r="C11" s="1">
        <v>20</v>
      </c>
      <c r="D11" s="14">
        <f t="shared" si="3"/>
        <v>7.5901328273244783E-3</v>
      </c>
      <c r="E11" s="5">
        <v>1210983840</v>
      </c>
      <c r="F11" s="6">
        <v>1065709733</v>
      </c>
      <c r="G11" s="14">
        <f t="shared" si="0"/>
        <v>0.88003629594264443</v>
      </c>
      <c r="H11" s="1">
        <v>70</v>
      </c>
      <c r="I11" s="1">
        <v>0</v>
      </c>
      <c r="J11" s="1">
        <v>36524</v>
      </c>
      <c r="K11" s="1">
        <f t="shared" si="1"/>
        <v>1844.4999999999998</v>
      </c>
      <c r="L11" s="1">
        <f t="shared" si="2"/>
        <v>2239.75</v>
      </c>
      <c r="M11" s="10"/>
      <c r="N11" s="10"/>
      <c r="O11" s="1">
        <v>2356</v>
      </c>
    </row>
    <row r="12" spans="1:15" x14ac:dyDescent="0.25">
      <c r="A12" s="4" t="s">
        <v>14</v>
      </c>
      <c r="B12" s="1">
        <v>2597</v>
      </c>
      <c r="C12" s="1">
        <v>0</v>
      </c>
      <c r="D12" s="14">
        <f t="shared" si="3"/>
        <v>0</v>
      </c>
      <c r="E12" s="9">
        <v>2436254286</v>
      </c>
      <c r="F12" s="9">
        <v>1687867169</v>
      </c>
      <c r="G12" s="14">
        <f t="shared" si="0"/>
        <v>0.69281239593886956</v>
      </c>
      <c r="H12" s="1">
        <v>5</v>
      </c>
      <c r="I12" s="1">
        <v>0</v>
      </c>
      <c r="J12" s="1">
        <v>29031</v>
      </c>
      <c r="K12" s="1">
        <f t="shared" si="1"/>
        <v>1817.8999999999999</v>
      </c>
      <c r="L12" s="1">
        <f t="shared" si="2"/>
        <v>2207.4499999999998</v>
      </c>
      <c r="M12" s="10"/>
      <c r="N12" s="10"/>
      <c r="O12" s="1">
        <v>3065</v>
      </c>
    </row>
    <row r="13" spans="1:15" ht="30" x14ac:dyDescent="0.3">
      <c r="A13" s="4" t="s">
        <v>15</v>
      </c>
      <c r="B13" s="1">
        <v>1599</v>
      </c>
      <c r="C13" s="1">
        <v>170</v>
      </c>
      <c r="D13" s="14">
        <f t="shared" si="3"/>
        <v>0.10631644777986242</v>
      </c>
      <c r="E13" s="5">
        <v>1756145513</v>
      </c>
      <c r="F13" s="6">
        <v>1382812196.8099999</v>
      </c>
      <c r="G13" s="14">
        <f t="shared" si="0"/>
        <v>0.78741322206709408</v>
      </c>
      <c r="H13" s="1">
        <v>12</v>
      </c>
      <c r="I13" s="1">
        <v>0</v>
      </c>
      <c r="J13" s="1">
        <v>19188</v>
      </c>
      <c r="K13" s="1">
        <f t="shared" si="1"/>
        <v>1119.3</v>
      </c>
      <c r="L13" s="1">
        <f t="shared" si="2"/>
        <v>1359.1499999999999</v>
      </c>
      <c r="M13" s="10"/>
      <c r="N13" s="10"/>
      <c r="O13" s="1"/>
    </row>
    <row r="14" spans="1:15" ht="16.5" x14ac:dyDescent="0.3">
      <c r="A14" s="4" t="s">
        <v>16</v>
      </c>
      <c r="B14" s="1">
        <v>4519</v>
      </c>
      <c r="C14" s="1">
        <v>0</v>
      </c>
      <c r="D14" s="14">
        <f t="shared" si="3"/>
        <v>0</v>
      </c>
      <c r="E14" s="5">
        <v>1498307315</v>
      </c>
      <c r="F14" s="6">
        <v>1486435907</v>
      </c>
      <c r="G14" s="14">
        <f t="shared" si="0"/>
        <v>0.99207678699746582</v>
      </c>
      <c r="H14" s="1">
        <v>3</v>
      </c>
      <c r="I14" s="1">
        <v>0</v>
      </c>
      <c r="J14" s="1">
        <v>26014</v>
      </c>
      <c r="K14" s="1">
        <f t="shared" si="1"/>
        <v>3163.2999999999997</v>
      </c>
      <c r="L14" s="1">
        <f t="shared" si="2"/>
        <v>3841.15</v>
      </c>
      <c r="M14" s="10"/>
      <c r="N14" s="10"/>
      <c r="O14" s="1"/>
    </row>
    <row r="15" spans="1:15" ht="16.5" x14ac:dyDescent="0.3">
      <c r="A15" s="4" t="s">
        <v>17</v>
      </c>
      <c r="B15" s="1">
        <v>1592</v>
      </c>
      <c r="C15" s="1">
        <v>0</v>
      </c>
      <c r="D15" s="14">
        <f t="shared" si="3"/>
        <v>0</v>
      </c>
      <c r="E15" s="5">
        <v>3905231296.9299998</v>
      </c>
      <c r="F15" s="6">
        <v>2893773331.8000002</v>
      </c>
      <c r="G15" s="14">
        <f t="shared" si="0"/>
        <v>0.74099921663407442</v>
      </c>
      <c r="H15" s="1">
        <v>185</v>
      </c>
      <c r="I15" s="1">
        <v>0</v>
      </c>
      <c r="J15" s="1">
        <v>46417</v>
      </c>
      <c r="K15" s="1">
        <f t="shared" si="1"/>
        <v>1114.3999999999999</v>
      </c>
      <c r="L15" s="1">
        <f t="shared" si="2"/>
        <v>1353.2</v>
      </c>
      <c r="M15" s="10"/>
      <c r="N15" s="10"/>
      <c r="O15" s="1">
        <v>3198</v>
      </c>
    </row>
    <row r="16" spans="1:15" ht="16.5" x14ac:dyDescent="0.3">
      <c r="A16" s="4" t="s">
        <v>18</v>
      </c>
      <c r="B16" s="1">
        <v>4342</v>
      </c>
      <c r="C16" s="1">
        <v>0</v>
      </c>
      <c r="D16" s="14">
        <f t="shared" si="3"/>
        <v>0</v>
      </c>
      <c r="E16" s="5">
        <v>2914904084</v>
      </c>
      <c r="F16" s="6">
        <v>2620615039.6399999</v>
      </c>
      <c r="G16" s="14">
        <f t="shared" si="0"/>
        <v>0.89903988746135355</v>
      </c>
      <c r="H16" s="1">
        <v>9</v>
      </c>
      <c r="I16" s="1">
        <v>0</v>
      </c>
      <c r="J16" s="1">
        <v>36468</v>
      </c>
      <c r="K16" s="1">
        <f t="shared" si="1"/>
        <v>3039.3999999999996</v>
      </c>
      <c r="L16" s="1">
        <f t="shared" si="2"/>
        <v>3690.7</v>
      </c>
      <c r="M16" s="10"/>
      <c r="N16" s="10"/>
      <c r="O16" s="1"/>
    </row>
    <row r="17" spans="1:15" ht="30" x14ac:dyDescent="0.3">
      <c r="A17" s="4" t="s">
        <v>19</v>
      </c>
      <c r="B17" s="1">
        <v>7101</v>
      </c>
      <c r="C17" s="1">
        <v>0</v>
      </c>
      <c r="D17" s="14">
        <f t="shared" si="3"/>
        <v>0</v>
      </c>
      <c r="E17" s="8">
        <v>2932836928.7399998</v>
      </c>
      <c r="F17" s="6">
        <v>1738850139.73</v>
      </c>
      <c r="G17" s="14">
        <f t="shared" si="0"/>
        <v>0.59289015447478077</v>
      </c>
      <c r="H17" s="1">
        <v>86</v>
      </c>
      <c r="I17" s="1">
        <v>0</v>
      </c>
      <c r="J17" s="1">
        <v>32836</v>
      </c>
      <c r="K17" s="1">
        <f t="shared" si="1"/>
        <v>4970.7</v>
      </c>
      <c r="L17" s="1">
        <f t="shared" si="2"/>
        <v>6035.8499999999995</v>
      </c>
      <c r="M17" s="10"/>
      <c r="N17" s="10"/>
    </row>
    <row r="18" spans="1:15" ht="16.5" x14ac:dyDescent="0.3">
      <c r="A18" s="4" t="s">
        <v>20</v>
      </c>
      <c r="B18" s="1">
        <v>2154</v>
      </c>
      <c r="C18" s="1">
        <v>14</v>
      </c>
      <c r="D18" s="14">
        <f t="shared" si="3"/>
        <v>6.4995357474466105E-3</v>
      </c>
      <c r="E18" s="5">
        <v>14803821208</v>
      </c>
      <c r="F18" s="6">
        <v>11126948222.389999</v>
      </c>
      <c r="G18" s="14">
        <f t="shared" si="0"/>
        <v>0.7516267635262297</v>
      </c>
      <c r="H18" s="1">
        <v>176</v>
      </c>
      <c r="I18" s="29">
        <v>6851075.4400000004</v>
      </c>
      <c r="J18" s="1">
        <v>324340</v>
      </c>
      <c r="K18" s="1">
        <f t="shared" si="1"/>
        <v>1507.8</v>
      </c>
      <c r="L18" s="1">
        <f t="shared" si="2"/>
        <v>1830.8999999999999</v>
      </c>
      <c r="O18">
        <v>28425</v>
      </c>
    </row>
    <row r="19" spans="1:15" ht="15" customHeight="1" x14ac:dyDescent="0.3">
      <c r="A19" s="4" t="s">
        <v>39</v>
      </c>
      <c r="B19" s="1">
        <v>4274</v>
      </c>
      <c r="C19" s="1">
        <v>0</v>
      </c>
      <c r="D19" s="14">
        <f t="shared" si="3"/>
        <v>0</v>
      </c>
      <c r="E19" s="5">
        <v>5674964982</v>
      </c>
      <c r="F19" s="6">
        <v>4730677790</v>
      </c>
      <c r="G19" s="14">
        <f t="shared" si="0"/>
        <v>0.83360475439141657</v>
      </c>
      <c r="H19" s="1">
        <v>133</v>
      </c>
      <c r="I19" s="1">
        <v>0</v>
      </c>
      <c r="J19" s="1">
        <v>93050</v>
      </c>
      <c r="K19" s="1">
        <f t="shared" si="1"/>
        <v>2991.7999999999997</v>
      </c>
      <c r="L19" s="1">
        <f t="shared" si="2"/>
        <v>3632.9</v>
      </c>
      <c r="O19">
        <v>12080</v>
      </c>
    </row>
    <row r="20" spans="1:15" ht="29.25" x14ac:dyDescent="0.25">
      <c r="A20" s="4" t="s">
        <v>21</v>
      </c>
      <c r="B20" s="1">
        <v>3886</v>
      </c>
      <c r="C20" s="1">
        <v>0</v>
      </c>
      <c r="D20" s="14">
        <f t="shared" si="3"/>
        <v>0</v>
      </c>
      <c r="E20" s="9">
        <v>4702210158.1599998</v>
      </c>
      <c r="F20" s="8">
        <v>4122015729.0300002</v>
      </c>
      <c r="G20" s="14">
        <f t="shared" si="0"/>
        <v>0.87661239935795787</v>
      </c>
      <c r="H20" s="1">
        <v>17</v>
      </c>
      <c r="I20" s="1">
        <v>0</v>
      </c>
      <c r="J20" s="1">
        <v>50935</v>
      </c>
      <c r="K20" s="1">
        <f t="shared" si="1"/>
        <v>2720.2</v>
      </c>
      <c r="L20" s="1">
        <f t="shared" si="2"/>
        <v>3303.1</v>
      </c>
    </row>
    <row r="21" spans="1:15" ht="30" x14ac:dyDescent="0.3">
      <c r="A21" s="4" t="s">
        <v>22</v>
      </c>
      <c r="B21" s="1">
        <v>2675</v>
      </c>
      <c r="C21" s="1">
        <v>0</v>
      </c>
      <c r="D21" s="14">
        <f t="shared" si="3"/>
        <v>0</v>
      </c>
      <c r="E21" s="5">
        <v>3473585883</v>
      </c>
      <c r="F21" s="6">
        <v>2348335425</v>
      </c>
      <c r="G21" s="14">
        <f t="shared" si="0"/>
        <v>0.67605509237383088</v>
      </c>
      <c r="H21" s="1">
        <v>82</v>
      </c>
      <c r="I21" s="1">
        <v>0</v>
      </c>
      <c r="J21" s="1">
        <v>43784</v>
      </c>
      <c r="K21" s="1">
        <f t="shared" si="1"/>
        <v>1872.4999999999998</v>
      </c>
      <c r="L21" s="1">
        <f t="shared" si="2"/>
        <v>2273.75</v>
      </c>
    </row>
    <row r="22" spans="1:15" ht="16.5" x14ac:dyDescent="0.3">
      <c r="A22" s="4" t="s">
        <v>23</v>
      </c>
      <c r="B22" s="1">
        <v>4261</v>
      </c>
      <c r="C22" s="1">
        <v>0</v>
      </c>
      <c r="D22" s="14">
        <f t="shared" si="3"/>
        <v>0</v>
      </c>
      <c r="E22" s="5">
        <v>2052806154.27</v>
      </c>
      <c r="F22" s="9">
        <v>1726796970.6099999</v>
      </c>
      <c r="G22" s="14">
        <f t="shared" si="0"/>
        <v>0.84118851992825772</v>
      </c>
      <c r="H22" s="1">
        <v>8</v>
      </c>
      <c r="I22" s="1">
        <v>0</v>
      </c>
      <c r="J22" s="1">
        <v>26829</v>
      </c>
      <c r="K22" s="1">
        <f t="shared" si="1"/>
        <v>2982.7</v>
      </c>
      <c r="L22" s="1">
        <f t="shared" si="2"/>
        <v>3621.85</v>
      </c>
    </row>
    <row r="23" spans="1:15" x14ac:dyDescent="0.25">
      <c r="A23" s="4" t="s">
        <v>24</v>
      </c>
      <c r="B23" s="1">
        <v>6894</v>
      </c>
      <c r="C23" s="1">
        <v>237</v>
      </c>
      <c r="D23" s="14">
        <f t="shared" si="3"/>
        <v>3.4377719756309835E-2</v>
      </c>
      <c r="E23" s="9">
        <v>9471436959</v>
      </c>
      <c r="F23" s="9">
        <v>6620519990</v>
      </c>
      <c r="G23" s="14">
        <f t="shared" si="0"/>
        <v>0.69899847495780598</v>
      </c>
      <c r="H23" s="1">
        <v>494</v>
      </c>
      <c r="I23" s="1">
        <v>0</v>
      </c>
      <c r="J23" s="1">
        <v>214871</v>
      </c>
      <c r="K23" s="1">
        <f t="shared" si="1"/>
        <v>4825.7999999999993</v>
      </c>
      <c r="L23" s="1">
        <f t="shared" si="2"/>
        <v>5859.9</v>
      </c>
      <c r="O23">
        <v>6894</v>
      </c>
    </row>
    <row r="24" spans="1:15" ht="30" x14ac:dyDescent="0.3">
      <c r="A24" s="4" t="s">
        <v>25</v>
      </c>
      <c r="B24" s="1">
        <v>3269</v>
      </c>
      <c r="C24" s="1">
        <v>0</v>
      </c>
      <c r="D24" s="14">
        <f t="shared" si="3"/>
        <v>0</v>
      </c>
      <c r="E24" s="5">
        <v>1198205219</v>
      </c>
      <c r="F24" s="6">
        <v>895925966.79999995</v>
      </c>
      <c r="G24" s="14">
        <f t="shared" si="0"/>
        <v>0.74772330531803499</v>
      </c>
      <c r="H24" s="1">
        <v>0</v>
      </c>
      <c r="I24" s="1">
        <v>0</v>
      </c>
      <c r="J24" s="1">
        <v>26165</v>
      </c>
      <c r="K24" s="1">
        <f t="shared" si="1"/>
        <v>2288.2999999999997</v>
      </c>
      <c r="L24" s="1">
        <f t="shared" si="2"/>
        <v>2778.65</v>
      </c>
      <c r="O24">
        <v>3569</v>
      </c>
    </row>
    <row r="25" spans="1:15" ht="29.25" x14ac:dyDescent="0.25">
      <c r="A25" s="4" t="s">
        <v>26</v>
      </c>
      <c r="B25" s="1">
        <v>4227</v>
      </c>
      <c r="C25" s="1">
        <v>0</v>
      </c>
      <c r="D25" s="14">
        <f t="shared" si="3"/>
        <v>0</v>
      </c>
      <c r="E25" s="9">
        <v>7769696962</v>
      </c>
      <c r="F25" s="9">
        <v>4779636985.1000004</v>
      </c>
      <c r="G25" s="14">
        <f t="shared" si="0"/>
        <v>0.61516388714723724</v>
      </c>
      <c r="H25" s="1">
        <v>0</v>
      </c>
      <c r="I25" s="1">
        <v>0</v>
      </c>
      <c r="J25" s="1">
        <v>117000</v>
      </c>
      <c r="K25" s="1">
        <f t="shared" si="1"/>
        <v>2958.8999999999996</v>
      </c>
      <c r="L25" s="1">
        <f t="shared" si="2"/>
        <v>3592.95</v>
      </c>
      <c r="O25">
        <v>4326</v>
      </c>
    </row>
    <row r="26" spans="1:15" x14ac:dyDescent="0.25">
      <c r="A26" s="4" t="s">
        <v>27</v>
      </c>
      <c r="B26" s="1">
        <v>2993</v>
      </c>
      <c r="C26" s="1">
        <v>0</v>
      </c>
      <c r="D26" s="14">
        <f t="shared" si="3"/>
        <v>0</v>
      </c>
      <c r="E26" s="9">
        <v>2995679949</v>
      </c>
      <c r="F26" s="9">
        <v>1927732350</v>
      </c>
      <c r="G26" s="14">
        <f t="shared" si="0"/>
        <v>0.64350410685343873</v>
      </c>
      <c r="H26" s="1">
        <v>182</v>
      </c>
      <c r="I26" s="1">
        <v>0</v>
      </c>
      <c r="J26" s="1">
        <v>25567</v>
      </c>
      <c r="K26" s="1">
        <f t="shared" si="1"/>
        <v>2095.1</v>
      </c>
      <c r="L26" s="1">
        <f t="shared" si="2"/>
        <v>2544.0499999999997</v>
      </c>
      <c r="O26">
        <v>4791</v>
      </c>
    </row>
    <row r="27" spans="1:15" ht="30" x14ac:dyDescent="0.3">
      <c r="A27" s="4" t="s">
        <v>28</v>
      </c>
      <c r="B27" s="1">
        <v>574</v>
      </c>
      <c r="C27" s="1">
        <v>0</v>
      </c>
      <c r="D27" s="14">
        <f t="shared" si="3"/>
        <v>0</v>
      </c>
      <c r="E27" s="9">
        <v>536304790.45999998</v>
      </c>
      <c r="F27" s="6">
        <v>380875682</v>
      </c>
      <c r="G27" s="14">
        <f t="shared" si="0"/>
        <v>0.7101851200570386</v>
      </c>
      <c r="H27" s="1">
        <v>0</v>
      </c>
      <c r="I27" s="1">
        <v>0</v>
      </c>
      <c r="J27" s="1">
        <v>7090</v>
      </c>
      <c r="K27" s="1">
        <f t="shared" si="1"/>
        <v>401.79999999999995</v>
      </c>
      <c r="L27" s="1">
        <f t="shared" si="2"/>
        <v>487.9</v>
      </c>
    </row>
    <row r="28" spans="1:15" ht="16.5" x14ac:dyDescent="0.3">
      <c r="A28" s="4" t="s">
        <v>29</v>
      </c>
      <c r="B28" s="1">
        <v>2525</v>
      </c>
      <c r="C28" s="1">
        <v>0</v>
      </c>
      <c r="D28" s="14">
        <f t="shared" si="3"/>
        <v>0</v>
      </c>
      <c r="E28" s="5">
        <v>3355614899.1700001</v>
      </c>
      <c r="F28" s="6">
        <v>2563362149.7600002</v>
      </c>
      <c r="G28" s="14">
        <f t="shared" si="0"/>
        <v>0.76390236269186884</v>
      </c>
      <c r="H28" s="1">
        <v>38</v>
      </c>
      <c r="I28" s="1">
        <v>0</v>
      </c>
      <c r="J28" s="1">
        <v>33395</v>
      </c>
      <c r="K28" s="1">
        <f t="shared" si="1"/>
        <v>1767.5</v>
      </c>
      <c r="L28" s="1">
        <f t="shared" si="2"/>
        <v>2146.25</v>
      </c>
      <c r="O28">
        <v>3535</v>
      </c>
    </row>
    <row r="29" spans="1:15" x14ac:dyDescent="0.25">
      <c r="A29" s="4" t="s">
        <v>30</v>
      </c>
      <c r="B29" s="1">
        <v>9734</v>
      </c>
      <c r="C29" s="1">
        <v>0</v>
      </c>
      <c r="D29" s="14">
        <f t="shared" si="3"/>
        <v>0</v>
      </c>
      <c r="E29" s="8">
        <v>7169774522</v>
      </c>
      <c r="F29" s="8">
        <v>6711579309.7600002</v>
      </c>
      <c r="G29" s="14">
        <f t="shared" si="0"/>
        <v>0.93609349766383076</v>
      </c>
      <c r="H29" s="1">
        <v>77</v>
      </c>
      <c r="I29" s="1">
        <v>0</v>
      </c>
      <c r="J29" s="1">
        <v>156175</v>
      </c>
      <c r="K29" s="1">
        <f t="shared" si="1"/>
        <v>6813.7999999999993</v>
      </c>
      <c r="L29" s="1">
        <f t="shared" si="2"/>
        <v>8273.9</v>
      </c>
      <c r="O29">
        <v>6013</v>
      </c>
    </row>
    <row r="30" spans="1:15" ht="16.5" x14ac:dyDescent="0.3">
      <c r="A30" s="4" t="s">
        <v>31</v>
      </c>
      <c r="B30" s="1">
        <v>2405</v>
      </c>
      <c r="C30" s="1">
        <v>68</v>
      </c>
      <c r="D30" s="14">
        <f t="shared" si="3"/>
        <v>2.8274428274428276E-2</v>
      </c>
      <c r="E30" s="5">
        <v>3119931499</v>
      </c>
      <c r="F30" s="6">
        <v>2471073001</v>
      </c>
      <c r="G30" s="14">
        <f t="shared" si="0"/>
        <v>0.79202796657299301</v>
      </c>
      <c r="H30" s="1">
        <v>129</v>
      </c>
      <c r="I30" s="1">
        <v>0</v>
      </c>
      <c r="J30" s="1">
        <v>44129</v>
      </c>
      <c r="K30" s="1">
        <f t="shared" si="1"/>
        <v>1683.5</v>
      </c>
      <c r="L30" s="1">
        <f t="shared" si="2"/>
        <v>2044.25</v>
      </c>
    </row>
    <row r="31" spans="1:15" ht="16.5" x14ac:dyDescent="0.3">
      <c r="A31" s="4" t="s">
        <v>32</v>
      </c>
      <c r="B31" s="1">
        <v>3482</v>
      </c>
      <c r="C31" s="1">
        <v>0</v>
      </c>
      <c r="D31" s="14">
        <f t="shared" ref="D31:D37" si="4">C31/B31</f>
        <v>0</v>
      </c>
      <c r="E31" s="5">
        <v>1232495478</v>
      </c>
      <c r="F31" s="6">
        <v>898873668.89999998</v>
      </c>
      <c r="G31" s="14">
        <f t="shared" ref="G31:G37" si="5">F31/E31</f>
        <v>0.72931194064794769</v>
      </c>
      <c r="H31" s="1">
        <v>0</v>
      </c>
      <c r="I31" s="29">
        <v>176888.78</v>
      </c>
      <c r="J31" s="1">
        <v>16676</v>
      </c>
      <c r="K31" s="1">
        <f t="shared" ref="K31:K37" si="6">B31*0.7</f>
        <v>2437.3999999999996</v>
      </c>
      <c r="L31" s="1">
        <f t="shared" ref="L31:L37" si="7">B31*0.85</f>
        <v>2959.7</v>
      </c>
    </row>
    <row r="32" spans="1:15" ht="16.5" x14ac:dyDescent="0.3">
      <c r="A32" s="4" t="s">
        <v>33</v>
      </c>
      <c r="B32" s="1">
        <v>3634</v>
      </c>
      <c r="C32" s="1">
        <v>0</v>
      </c>
      <c r="D32" s="14">
        <f t="shared" si="4"/>
        <v>0</v>
      </c>
      <c r="E32" s="8">
        <v>2444343904</v>
      </c>
      <c r="F32" s="5">
        <v>1842883826</v>
      </c>
      <c r="G32" s="14">
        <f t="shared" si="5"/>
        <v>0.75393802933549892</v>
      </c>
      <c r="H32" s="1">
        <v>28</v>
      </c>
      <c r="I32" s="1">
        <v>0</v>
      </c>
      <c r="J32" s="1">
        <v>32865</v>
      </c>
      <c r="K32" s="1">
        <f t="shared" si="6"/>
        <v>2543.7999999999997</v>
      </c>
      <c r="L32" s="1">
        <f t="shared" si="7"/>
        <v>3088.9</v>
      </c>
      <c r="O32">
        <v>2254</v>
      </c>
    </row>
    <row r="33" spans="1:17" ht="16.5" x14ac:dyDescent="0.3">
      <c r="A33" s="4" t="s">
        <v>34</v>
      </c>
      <c r="B33" s="1">
        <v>7659</v>
      </c>
      <c r="C33" s="1">
        <v>0</v>
      </c>
      <c r="D33" s="14">
        <f t="shared" si="4"/>
        <v>0</v>
      </c>
      <c r="E33" s="5">
        <v>4529528660</v>
      </c>
      <c r="F33" s="6">
        <v>3239830904</v>
      </c>
      <c r="G33" s="14">
        <f t="shared" si="5"/>
        <v>0.71526888274507572</v>
      </c>
      <c r="H33" s="1">
        <v>49</v>
      </c>
      <c r="I33" s="1">
        <v>0</v>
      </c>
      <c r="J33" s="1">
        <v>38027</v>
      </c>
      <c r="K33" s="1">
        <f t="shared" si="6"/>
        <v>5361.2999999999993</v>
      </c>
      <c r="L33" s="1">
        <f t="shared" si="7"/>
        <v>6510.15</v>
      </c>
    </row>
    <row r="34" spans="1:17" ht="16.5" x14ac:dyDescent="0.3">
      <c r="A34" s="4" t="s">
        <v>35</v>
      </c>
      <c r="B34" s="1">
        <v>2709</v>
      </c>
      <c r="C34" s="1">
        <v>0</v>
      </c>
      <c r="D34" s="14">
        <f t="shared" si="4"/>
        <v>0</v>
      </c>
      <c r="E34" s="5">
        <v>939610477</v>
      </c>
      <c r="F34" s="9">
        <v>848983722.10000002</v>
      </c>
      <c r="G34" s="14">
        <f t="shared" si="5"/>
        <v>0.90354859048682157</v>
      </c>
      <c r="H34" s="1">
        <v>0</v>
      </c>
      <c r="I34" s="1">
        <v>0</v>
      </c>
      <c r="J34" s="1">
        <v>16000</v>
      </c>
      <c r="K34" s="1">
        <f t="shared" si="6"/>
        <v>1896.3</v>
      </c>
      <c r="L34" s="1">
        <f t="shared" si="7"/>
        <v>2302.65</v>
      </c>
    </row>
    <row r="35" spans="1:17" ht="18.75" x14ac:dyDescent="0.3">
      <c r="A35" s="4" t="s">
        <v>36</v>
      </c>
      <c r="B35" s="1">
        <v>16601</v>
      </c>
      <c r="C35" s="1">
        <v>201</v>
      </c>
      <c r="D35" s="14">
        <f t="shared" si="4"/>
        <v>1.2107704355159328E-2</v>
      </c>
      <c r="E35" s="9">
        <v>7731634982</v>
      </c>
      <c r="F35" s="9">
        <v>5745611548.3900003</v>
      </c>
      <c r="G35" s="14">
        <f t="shared" si="5"/>
        <v>0.7431302126608853</v>
      </c>
      <c r="H35" s="1">
        <v>55</v>
      </c>
      <c r="I35" s="1">
        <v>0</v>
      </c>
      <c r="J35" s="1">
        <v>87034</v>
      </c>
      <c r="K35" s="1">
        <f t="shared" si="6"/>
        <v>11620.699999999999</v>
      </c>
      <c r="L35" s="1">
        <f t="shared" si="7"/>
        <v>14110.85</v>
      </c>
      <c r="O35" s="16">
        <v>26307</v>
      </c>
      <c r="P35" s="16">
        <v>6302</v>
      </c>
      <c r="Q35" s="16">
        <v>5185</v>
      </c>
    </row>
    <row r="36" spans="1:17" ht="16.5" x14ac:dyDescent="0.3">
      <c r="A36" s="4" t="s">
        <v>37</v>
      </c>
      <c r="B36" s="1">
        <v>3821</v>
      </c>
      <c r="C36" s="1">
        <v>0</v>
      </c>
      <c r="D36" s="14">
        <f t="shared" si="4"/>
        <v>0</v>
      </c>
      <c r="E36" s="5">
        <v>2455789890</v>
      </c>
      <c r="F36" s="6">
        <v>2320443685</v>
      </c>
      <c r="G36" s="14">
        <f t="shared" si="5"/>
        <v>0.94488689543387605</v>
      </c>
      <c r="H36" s="1">
        <v>31</v>
      </c>
      <c r="I36" s="1">
        <v>0</v>
      </c>
      <c r="J36" s="1">
        <v>28102</v>
      </c>
      <c r="K36" s="1">
        <f t="shared" si="6"/>
        <v>2674.7</v>
      </c>
      <c r="L36" s="1">
        <f t="shared" si="7"/>
        <v>3247.85</v>
      </c>
    </row>
    <row r="37" spans="1:17" ht="16.5" x14ac:dyDescent="0.3">
      <c r="A37" s="4" t="s">
        <v>38</v>
      </c>
      <c r="B37" s="1">
        <v>3417</v>
      </c>
      <c r="C37" s="1">
        <v>0</v>
      </c>
      <c r="D37" s="14">
        <f t="shared" si="4"/>
        <v>0</v>
      </c>
      <c r="E37" s="5">
        <v>2213584142</v>
      </c>
      <c r="F37" s="6">
        <v>1451549271</v>
      </c>
      <c r="G37" s="14">
        <f t="shared" si="5"/>
        <v>0.65574614646837315</v>
      </c>
      <c r="H37" s="1">
        <v>0</v>
      </c>
      <c r="I37" s="30">
        <v>0</v>
      </c>
      <c r="J37" s="1">
        <v>40504</v>
      </c>
      <c r="K37" s="1">
        <f t="shared" si="6"/>
        <v>2391.8999999999996</v>
      </c>
      <c r="L37" s="1">
        <f t="shared" si="7"/>
        <v>2904.45</v>
      </c>
      <c r="O37">
        <v>4441</v>
      </c>
    </row>
    <row r="38" spans="1:17" ht="18" x14ac:dyDescent="0.25">
      <c r="A38" s="18" t="s">
        <v>53</v>
      </c>
      <c r="B38" s="11">
        <f>SUM(B4:B37)</f>
        <v>131695</v>
      </c>
      <c r="C38" s="11"/>
      <c r="D38" s="17">
        <f>AVERAGE(D4:D37)</f>
        <v>1.6329676943945479E-2</v>
      </c>
      <c r="E38" s="19">
        <f>SUM(E4:E37)</f>
        <v>121323369430.78</v>
      </c>
      <c r="F38" s="19">
        <f>SUM(F4:F37)</f>
        <v>92627083646.23999</v>
      </c>
      <c r="G38" s="20">
        <f>AVERAGE(G4:G37)</f>
        <v>0.777027772273433</v>
      </c>
      <c r="H38" s="12">
        <f>SUM(H4:H37)</f>
        <v>2053</v>
      </c>
      <c r="I38" s="31">
        <f>SUM(I4:I37)</f>
        <v>21002900.560000002</v>
      </c>
      <c r="J38" s="11">
        <f>SUM(J4:J37)</f>
        <v>1845121</v>
      </c>
      <c r="K38" s="11"/>
      <c r="L38" s="11"/>
      <c r="M38" s="11"/>
      <c r="N38" s="11"/>
      <c r="O38" s="11"/>
    </row>
    <row r="41" spans="1:17" ht="15" customHeight="1" x14ac:dyDescent="0.25">
      <c r="G41" s="27" t="s">
        <v>56</v>
      </c>
      <c r="H41" s="27"/>
      <c r="I41" s="27"/>
      <c r="J41" s="27"/>
      <c r="K41" s="27"/>
      <c r="L41" s="27"/>
    </row>
    <row r="42" spans="1:17" x14ac:dyDescent="0.25">
      <c r="A42" s="25" t="s">
        <v>55</v>
      </c>
      <c r="B42" s="25"/>
      <c r="C42" s="25"/>
      <c r="D42" s="25"/>
      <c r="E42" s="25"/>
      <c r="F42" s="25"/>
      <c r="G42" s="27"/>
      <c r="H42" s="27"/>
      <c r="I42" s="27"/>
      <c r="J42" s="27"/>
      <c r="K42" s="27"/>
      <c r="L42" s="27"/>
    </row>
    <row r="43" spans="1:17" ht="150" customHeight="1" x14ac:dyDescent="0.25">
      <c r="A43" s="26" t="s">
        <v>52</v>
      </c>
      <c r="B43" s="26"/>
      <c r="C43" s="26"/>
      <c r="D43" s="26"/>
      <c r="E43" s="26"/>
      <c r="F43" s="26"/>
    </row>
    <row r="44" spans="1:17" ht="105" customHeight="1" x14ac:dyDescent="0.25">
      <c r="A44" s="26" t="s">
        <v>54</v>
      </c>
      <c r="B44" s="26"/>
      <c r="C44" s="26"/>
      <c r="D44" s="26"/>
      <c r="E44" s="26"/>
      <c r="F44" s="26"/>
    </row>
  </sheetData>
  <mergeCells count="6">
    <mergeCell ref="A1:J1"/>
    <mergeCell ref="A2:J2"/>
    <mergeCell ref="A42:F42"/>
    <mergeCell ref="A43:F43"/>
    <mergeCell ref="A44:F44"/>
    <mergeCell ref="G41:L42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E920-0B65-4110-97B2-E270B855DD76}">
  <dimension ref="C2:D37"/>
  <sheetViews>
    <sheetView topLeftCell="A16" workbookViewId="0">
      <selection activeCell="C37" sqref="C37"/>
    </sheetView>
  </sheetViews>
  <sheetFormatPr baseColWidth="10" defaultRowHeight="15" x14ac:dyDescent="0.25"/>
  <cols>
    <col min="3" max="3" width="56" customWidth="1"/>
    <col min="4" max="4" width="23.7109375" customWidth="1"/>
  </cols>
  <sheetData>
    <row r="2" spans="3:4" ht="30" x14ac:dyDescent="0.25">
      <c r="C2" s="21" t="s">
        <v>0</v>
      </c>
      <c r="D2" s="22" t="s">
        <v>4</v>
      </c>
    </row>
    <row r="3" spans="3:4" x14ac:dyDescent="0.25">
      <c r="C3" s="1" t="s">
        <v>6</v>
      </c>
      <c r="D3" s="1">
        <v>19</v>
      </c>
    </row>
    <row r="4" spans="3:4" x14ac:dyDescent="0.25">
      <c r="C4" s="1" t="s">
        <v>45</v>
      </c>
      <c r="D4" s="1">
        <v>30</v>
      </c>
    </row>
    <row r="5" spans="3:4" x14ac:dyDescent="0.25">
      <c r="C5" s="1" t="s">
        <v>8</v>
      </c>
      <c r="D5" s="1">
        <v>3</v>
      </c>
    </row>
    <row r="6" spans="3:4" x14ac:dyDescent="0.25">
      <c r="C6" s="1" t="s">
        <v>9</v>
      </c>
      <c r="D6" s="1">
        <v>1</v>
      </c>
    </row>
    <row r="7" spans="3:4" x14ac:dyDescent="0.25">
      <c r="C7" s="1" t="s">
        <v>10</v>
      </c>
      <c r="D7" s="1">
        <v>90</v>
      </c>
    </row>
    <row r="8" spans="3:4" x14ac:dyDescent="0.25">
      <c r="C8" s="1" t="s">
        <v>11</v>
      </c>
      <c r="D8" s="1">
        <v>19</v>
      </c>
    </row>
    <row r="9" spans="3:4" x14ac:dyDescent="0.25">
      <c r="C9" s="1" t="s">
        <v>12</v>
      </c>
      <c r="D9" s="1">
        <v>22</v>
      </c>
    </row>
    <row r="10" spans="3:4" x14ac:dyDescent="0.25">
      <c r="C10" s="1" t="s">
        <v>13</v>
      </c>
      <c r="D10" s="1">
        <v>70</v>
      </c>
    </row>
    <row r="11" spans="3:4" x14ac:dyDescent="0.25">
      <c r="C11" s="1" t="s">
        <v>14</v>
      </c>
      <c r="D11" s="1">
        <v>5</v>
      </c>
    </row>
    <row r="12" spans="3:4" x14ac:dyDescent="0.25">
      <c r="C12" s="1" t="s">
        <v>15</v>
      </c>
      <c r="D12" s="1">
        <v>12</v>
      </c>
    </row>
    <row r="13" spans="3:4" x14ac:dyDescent="0.25">
      <c r="C13" s="1" t="s">
        <v>16</v>
      </c>
      <c r="D13" s="1">
        <v>3</v>
      </c>
    </row>
    <row r="14" spans="3:4" x14ac:dyDescent="0.25">
      <c r="C14" s="1" t="s">
        <v>17</v>
      </c>
      <c r="D14" s="1">
        <v>185</v>
      </c>
    </row>
    <row r="15" spans="3:4" x14ac:dyDescent="0.25">
      <c r="C15" s="1" t="s">
        <v>18</v>
      </c>
      <c r="D15" s="1">
        <v>9</v>
      </c>
    </row>
    <row r="16" spans="3:4" x14ac:dyDescent="0.25">
      <c r="C16" s="1" t="s">
        <v>19</v>
      </c>
      <c r="D16" s="1">
        <v>86</v>
      </c>
    </row>
    <row r="17" spans="3:4" x14ac:dyDescent="0.25">
      <c r="C17" s="1" t="s">
        <v>20</v>
      </c>
      <c r="D17" s="1">
        <v>176</v>
      </c>
    </row>
    <row r="18" spans="3:4" x14ac:dyDescent="0.25">
      <c r="C18" s="1" t="s">
        <v>39</v>
      </c>
      <c r="D18" s="1">
        <v>133</v>
      </c>
    </row>
    <row r="19" spans="3:4" x14ac:dyDescent="0.25">
      <c r="C19" s="1" t="s">
        <v>21</v>
      </c>
      <c r="D19" s="1">
        <v>17</v>
      </c>
    </row>
    <row r="20" spans="3:4" x14ac:dyDescent="0.25">
      <c r="C20" s="1" t="s">
        <v>22</v>
      </c>
      <c r="D20" s="1">
        <v>82</v>
      </c>
    </row>
    <row r="21" spans="3:4" x14ac:dyDescent="0.25">
      <c r="C21" s="1" t="s">
        <v>23</v>
      </c>
      <c r="D21" s="1">
        <v>8</v>
      </c>
    </row>
    <row r="22" spans="3:4" x14ac:dyDescent="0.25">
      <c r="C22" s="1" t="s">
        <v>24</v>
      </c>
      <c r="D22" s="1">
        <v>494</v>
      </c>
    </row>
    <row r="23" spans="3:4" x14ac:dyDescent="0.25">
      <c r="C23" s="1" t="s">
        <v>25</v>
      </c>
      <c r="D23" s="1">
        <v>0</v>
      </c>
    </row>
    <row r="24" spans="3:4" x14ac:dyDescent="0.25">
      <c r="C24" s="1" t="s">
        <v>26</v>
      </c>
      <c r="D24" s="1">
        <v>0</v>
      </c>
    </row>
    <row r="25" spans="3:4" x14ac:dyDescent="0.25">
      <c r="C25" s="1" t="s">
        <v>27</v>
      </c>
      <c r="D25" s="1">
        <v>182</v>
      </c>
    </row>
    <row r="26" spans="3:4" x14ac:dyDescent="0.25">
      <c r="C26" s="1" t="s">
        <v>28</v>
      </c>
      <c r="D26" s="1">
        <v>0</v>
      </c>
    </row>
    <row r="27" spans="3:4" x14ac:dyDescent="0.25">
      <c r="C27" s="1" t="s">
        <v>29</v>
      </c>
      <c r="D27" s="1">
        <v>38</v>
      </c>
    </row>
    <row r="28" spans="3:4" x14ac:dyDescent="0.25">
      <c r="C28" s="1" t="s">
        <v>30</v>
      </c>
      <c r="D28" s="1">
        <v>77</v>
      </c>
    </row>
    <row r="29" spans="3:4" x14ac:dyDescent="0.25">
      <c r="C29" s="1" t="s">
        <v>31</v>
      </c>
      <c r="D29" s="1">
        <v>129</v>
      </c>
    </row>
    <row r="30" spans="3:4" x14ac:dyDescent="0.25">
      <c r="C30" s="1" t="s">
        <v>32</v>
      </c>
      <c r="D30" s="1">
        <v>0</v>
      </c>
    </row>
    <row r="31" spans="3:4" x14ac:dyDescent="0.25">
      <c r="C31" s="1" t="s">
        <v>33</v>
      </c>
      <c r="D31" s="1">
        <v>28</v>
      </c>
    </row>
    <row r="32" spans="3:4" x14ac:dyDescent="0.25">
      <c r="C32" s="1" t="s">
        <v>34</v>
      </c>
      <c r="D32" s="1">
        <v>49</v>
      </c>
    </row>
    <row r="33" spans="3:4" x14ac:dyDescent="0.25">
      <c r="C33" s="1" t="s">
        <v>35</v>
      </c>
      <c r="D33" s="1">
        <v>0</v>
      </c>
    </row>
    <row r="34" spans="3:4" x14ac:dyDescent="0.25">
      <c r="C34" s="1" t="s">
        <v>36</v>
      </c>
      <c r="D34" s="1">
        <v>55</v>
      </c>
    </row>
    <row r="35" spans="3:4" x14ac:dyDescent="0.25">
      <c r="C35" s="1" t="s">
        <v>37</v>
      </c>
      <c r="D35" s="1">
        <v>31</v>
      </c>
    </row>
    <row r="36" spans="3:4" x14ac:dyDescent="0.25">
      <c r="C36" s="1" t="s">
        <v>38</v>
      </c>
      <c r="D36" s="1">
        <v>0</v>
      </c>
    </row>
    <row r="37" spans="3:4" x14ac:dyDescent="0.25">
      <c r="C37" s="1" t="s">
        <v>53</v>
      </c>
      <c r="D37">
        <f>SUM(D3:D36)</f>
        <v>2053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6816-51B6-4975-BDE7-93DB3570DC53}">
  <dimension ref="B1:C37"/>
  <sheetViews>
    <sheetView zoomScaleNormal="100" workbookViewId="0">
      <selection activeCell="B1" sqref="B1:C1"/>
    </sheetView>
  </sheetViews>
  <sheetFormatPr baseColWidth="10" defaultRowHeight="15" x14ac:dyDescent="0.25"/>
  <cols>
    <col min="2" max="2" width="27.85546875" customWidth="1"/>
    <col min="3" max="3" width="16.7109375" customWidth="1"/>
  </cols>
  <sheetData>
    <row r="1" spans="2:3" x14ac:dyDescent="0.25">
      <c r="B1" s="28" t="s">
        <v>57</v>
      </c>
      <c r="C1" s="28"/>
    </row>
    <row r="2" spans="2:3" ht="30" x14ac:dyDescent="0.25">
      <c r="B2" s="3" t="s">
        <v>0</v>
      </c>
      <c r="C2" s="3" t="s">
        <v>4</v>
      </c>
    </row>
    <row r="3" spans="2:3" x14ac:dyDescent="0.25">
      <c r="B3" s="18" t="s">
        <v>53</v>
      </c>
      <c r="C3" s="12">
        <v>2053</v>
      </c>
    </row>
    <row r="4" spans="2:3" ht="29.25" x14ac:dyDescent="0.25">
      <c r="B4" s="4" t="s">
        <v>24</v>
      </c>
      <c r="C4" s="1">
        <v>494</v>
      </c>
    </row>
    <row r="5" spans="2:3" x14ac:dyDescent="0.25">
      <c r="B5" s="4" t="s">
        <v>17</v>
      </c>
      <c r="C5" s="1">
        <v>185</v>
      </c>
    </row>
    <row r="6" spans="2:3" ht="29.25" x14ac:dyDescent="0.25">
      <c r="B6" s="4" t="s">
        <v>27</v>
      </c>
      <c r="C6" s="1">
        <v>182</v>
      </c>
    </row>
    <row r="7" spans="2:3" x14ac:dyDescent="0.25">
      <c r="B7" s="4" t="s">
        <v>20</v>
      </c>
      <c r="C7" s="1">
        <v>176</v>
      </c>
    </row>
    <row r="8" spans="2:3" ht="29.25" x14ac:dyDescent="0.25">
      <c r="B8" s="4" t="s">
        <v>39</v>
      </c>
      <c r="C8" s="1">
        <v>133</v>
      </c>
    </row>
    <row r="9" spans="2:3" x14ac:dyDescent="0.25">
      <c r="B9" s="4" t="s">
        <v>31</v>
      </c>
      <c r="C9" s="1">
        <v>129</v>
      </c>
    </row>
    <row r="10" spans="2:3" ht="29.25" x14ac:dyDescent="0.25">
      <c r="B10" s="4" t="s">
        <v>10</v>
      </c>
      <c r="C10" s="1">
        <v>90</v>
      </c>
    </row>
    <row r="11" spans="2:3" ht="29.25" x14ac:dyDescent="0.25">
      <c r="B11" s="4" t="s">
        <v>19</v>
      </c>
      <c r="C11" s="1">
        <v>86</v>
      </c>
    </row>
    <row r="12" spans="2:3" ht="29.25" x14ac:dyDescent="0.25">
      <c r="B12" s="4" t="s">
        <v>22</v>
      </c>
      <c r="C12" s="1">
        <v>82</v>
      </c>
    </row>
    <row r="13" spans="2:3" ht="29.25" x14ac:dyDescent="0.25">
      <c r="B13" s="4" t="s">
        <v>30</v>
      </c>
      <c r="C13" s="1">
        <v>77</v>
      </c>
    </row>
    <row r="14" spans="2:3" ht="29.25" x14ac:dyDescent="0.25">
      <c r="B14" s="4" t="s">
        <v>13</v>
      </c>
      <c r="C14" s="1">
        <v>70</v>
      </c>
    </row>
    <row r="15" spans="2:3" x14ac:dyDescent="0.25">
      <c r="B15" s="4" t="s">
        <v>36</v>
      </c>
      <c r="C15" s="1">
        <v>55</v>
      </c>
    </row>
    <row r="16" spans="2:3" ht="29.25" x14ac:dyDescent="0.25">
      <c r="B16" s="4" t="s">
        <v>34</v>
      </c>
      <c r="C16" s="1">
        <v>49</v>
      </c>
    </row>
    <row r="17" spans="2:3" ht="29.25" x14ac:dyDescent="0.25">
      <c r="B17" s="4" t="s">
        <v>29</v>
      </c>
      <c r="C17" s="1">
        <v>38</v>
      </c>
    </row>
    <row r="18" spans="2:3" ht="29.25" x14ac:dyDescent="0.25">
      <c r="B18" s="4" t="s">
        <v>37</v>
      </c>
      <c r="C18" s="1">
        <v>31</v>
      </c>
    </row>
    <row r="19" spans="2:3" ht="43.5" x14ac:dyDescent="0.25">
      <c r="B19" s="4" t="s">
        <v>45</v>
      </c>
      <c r="C19" s="1">
        <v>30</v>
      </c>
    </row>
    <row r="20" spans="2:3" ht="29.25" x14ac:dyDescent="0.25">
      <c r="B20" s="4" t="s">
        <v>33</v>
      </c>
      <c r="C20" s="1">
        <v>28</v>
      </c>
    </row>
    <row r="21" spans="2:3" ht="29.25" x14ac:dyDescent="0.25">
      <c r="B21" s="4" t="s">
        <v>12</v>
      </c>
      <c r="C21" s="1">
        <v>22</v>
      </c>
    </row>
    <row r="22" spans="2:3" ht="29.25" x14ac:dyDescent="0.25">
      <c r="B22" s="4" t="s">
        <v>6</v>
      </c>
      <c r="C22" s="1">
        <v>19</v>
      </c>
    </row>
    <row r="23" spans="2:3" x14ac:dyDescent="0.25">
      <c r="B23" s="4" t="s">
        <v>11</v>
      </c>
      <c r="C23" s="1">
        <v>19</v>
      </c>
    </row>
    <row r="24" spans="2:3" ht="29.25" x14ac:dyDescent="0.25">
      <c r="B24" s="4" t="s">
        <v>21</v>
      </c>
      <c r="C24" s="1">
        <v>17</v>
      </c>
    </row>
    <row r="25" spans="2:3" ht="29.25" x14ac:dyDescent="0.25">
      <c r="B25" s="4" t="s">
        <v>15</v>
      </c>
      <c r="C25" s="1">
        <v>12</v>
      </c>
    </row>
    <row r="26" spans="2:3" ht="29.25" x14ac:dyDescent="0.25">
      <c r="B26" s="4" t="s">
        <v>18</v>
      </c>
      <c r="C26" s="1">
        <v>9</v>
      </c>
    </row>
    <row r="27" spans="2:3" ht="29.25" x14ac:dyDescent="0.25">
      <c r="B27" s="4" t="s">
        <v>23</v>
      </c>
      <c r="C27" s="1">
        <v>8</v>
      </c>
    </row>
    <row r="28" spans="2:3" ht="29.25" x14ac:dyDescent="0.25">
      <c r="B28" s="4" t="s">
        <v>14</v>
      </c>
      <c r="C28" s="1">
        <v>5</v>
      </c>
    </row>
    <row r="29" spans="2:3" ht="29.25" x14ac:dyDescent="0.25">
      <c r="B29" s="4" t="s">
        <v>8</v>
      </c>
      <c r="C29" s="1">
        <v>3</v>
      </c>
    </row>
    <row r="30" spans="2:3" ht="29.25" x14ac:dyDescent="0.25">
      <c r="B30" s="4" t="s">
        <v>16</v>
      </c>
      <c r="C30" s="1">
        <v>3</v>
      </c>
    </row>
    <row r="31" spans="2:3" ht="29.25" x14ac:dyDescent="0.25">
      <c r="B31" s="4" t="s">
        <v>9</v>
      </c>
      <c r="C31" s="1">
        <v>1</v>
      </c>
    </row>
    <row r="32" spans="2:3" ht="29.25" x14ac:dyDescent="0.25">
      <c r="B32" s="4" t="s">
        <v>25</v>
      </c>
      <c r="C32" s="1">
        <v>0</v>
      </c>
    </row>
    <row r="33" spans="2:3" ht="43.5" x14ac:dyDescent="0.25">
      <c r="B33" s="4" t="s">
        <v>26</v>
      </c>
      <c r="C33" s="1">
        <v>0</v>
      </c>
    </row>
    <row r="34" spans="2:3" ht="29.25" x14ac:dyDescent="0.25">
      <c r="B34" s="4" t="s">
        <v>28</v>
      </c>
      <c r="C34" s="1">
        <v>0</v>
      </c>
    </row>
    <row r="35" spans="2:3" ht="29.25" x14ac:dyDescent="0.25">
      <c r="B35" s="4" t="s">
        <v>32</v>
      </c>
      <c r="C35" s="1">
        <v>0</v>
      </c>
    </row>
    <row r="36" spans="2:3" ht="29.25" x14ac:dyDescent="0.25">
      <c r="B36" s="4" t="s">
        <v>35</v>
      </c>
      <c r="C36" s="1">
        <v>0</v>
      </c>
    </row>
    <row r="37" spans="2:3" ht="29.25" x14ac:dyDescent="0.25">
      <c r="B37" s="4" t="s">
        <v>38</v>
      </c>
      <c r="C37" s="1">
        <v>0</v>
      </c>
    </row>
  </sheetData>
  <autoFilter ref="B2:C2" xr:uid="{D89F6816-51B6-4975-BDE7-93DB3570DC53}">
    <sortState xmlns:xlrd2="http://schemas.microsoft.com/office/spreadsheetml/2017/richdata2" ref="B3:C37">
      <sortCondition descending="1" ref="C2"/>
    </sortState>
  </autoFilter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CEIES</vt:lpstr>
      <vt:lpstr>UNIVERSIDADES</vt:lpstr>
      <vt:lpstr>UNIVERSIDADES- INVENCIONES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Remes</dc:creator>
  <cp:lastModifiedBy>Maria Teresa Díaz</cp:lastModifiedBy>
  <dcterms:created xsi:type="dcterms:W3CDTF">2023-02-21T23:28:46Z</dcterms:created>
  <dcterms:modified xsi:type="dcterms:W3CDTF">2024-02-18T00:51:14Z</dcterms:modified>
</cp:coreProperties>
</file>